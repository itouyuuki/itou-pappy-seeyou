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使い方" state="visible" r:id="rId4"/>
    <sheet sheetId="2" name="1本目" state="visible" r:id="rId5"/>
    <sheet sheetId="3" name="2本目" state="visible" r:id="rId6"/>
  </sheets>
  <definedNames>
    <definedName name="_xlnm.Print_Titles" localSheetId="1">'1本目'!$5:$5</definedName>
    <definedName name="_xlnm.Print_Titles" localSheetId="2">'2本目'!$5:$5</definedName>
  </definedNames>
  <calcPr calcId="171027" fullCalcOnLoad="1"/>
</workbook>
</file>

<file path=xl/sharedStrings.xml><?xml version="1.0" encoding="utf-8"?>
<sst xmlns="http://schemas.openxmlformats.org/spreadsheetml/2006/main" count="207" uniqueCount="144">
  <si>
    <t>動画タイムシート（BGM 確定版）</t>
  </si>
  <si>
    <t/>
  </si>
  <si>
    <t>■ 入力するのは黄色のセルだけ</t>
  </si>
  <si>
    <t>・「尺（秒）」に秒数を入れると、開始・終了は自動で計算されます。途中の1行を変えても、後ろは全部ずれてくれます。</t>
  </si>
  <si>
    <t>・「映像・入れる絵」「テロップ・セリフ」「素材」「メモ」は自由に書いてください。</t>
  </si>
  <si>
    <t>・0.5秒などの小数も入れられます。</t>
  </si>
  <si>
    <t>■ BGM チェック</t>
  </si>
  <si>
    <t>・各シート上の「合計」と「BGM の長さ」がずれると、赤字で「〇秒長い／足りない」と出ます。BGM は確定なので、ここを OK にする。</t>
  </si>
  <si>
    <t>・BGM の長さは、らら仮動画（BGM 入り）の実測：1本目 3:06.2、2本目 3:29.2。</t>
  </si>
  <si>
    <t>■ 行を足す・消すとき</t>
  </si>
  <si>
    <t>・行を足すときは、どれか1行をコピーして「コピーしたセルの挿入」で入れる（開始・終了の式ごと入ります）。</t>
  </si>
  <si>
    <t>・行を足したり消したりしたら、No は振り直す（素材のファイル名と揃えるため）。</t>
  </si>
  <si>
    <t>■ ファイル名のルール</t>
  </si>
  <si>
    <t>・素材のファイル名の頭に No を付ける。例）1-04_キャンバスを見つける.mp4、2-08_3人目_〇〇.mp4</t>
  </si>
  <si>
    <t>・表と素材が1対1でつながるので、編集ソフトに並べるとき・差し替えるときに迷わない。</t>
  </si>
  <si>
    <t>■ 中身について</t>
  </si>
  <si>
    <t>・「らら案の中身」はたたき台。らら仮動画の時間（BGM と同じ）から起こしたので、±3秒くらいずれる。</t>
  </si>
  <si>
    <t>・「音・BGM の位置」の無音の時間は、仮動画の音声から実測（-40dB 以下が1秒以上）。</t>
  </si>
  <si>
    <t>・作り直しでは伊藤案と合体させるので、中身・尺は自由に変えてOK。</t>
  </si>
  <si>
    <t>・あとで、この表をもとに「動くVコンテ」（曲に合わせて絵が切り替わるプレビュー）を作れる。</t>
  </si>
  <si>
    <t>1本目：プレゼントの発案と準備（あさこの物語）</t>
  </si>
  <si>
    <t>BGM の長さ</t>
  </si>
  <si>
    <t>らら仮動画の BGM を実測（秒）</t>
  </si>
  <si>
    <t>合計</t>
  </si>
  <si>
    <t>No</t>
  </si>
  <si>
    <t>尺（秒）</t>
  </si>
  <si>
    <t>開始</t>
  </si>
  <si>
    <t>終了</t>
  </si>
  <si>
    <t>らら案の中身（たたき台）</t>
  </si>
  <si>
    <t>映像・入れる絵（ファイル名）</t>
  </si>
  <si>
    <t>音・BGM の位置</t>
  </si>
  <si>
    <t>テロップ・セリフ</t>
  </si>
  <si>
    <t>素材</t>
  </si>
  <si>
    <t>メモ</t>
  </si>
  <si>
    <t>1-01</t>
  </si>
  <si>
    <t>長野の思い出写真に数字が重なる（「長野生活は〜」の時間のセリフ）</t>
  </si>
  <si>
    <t>例）1-01_思い出写真_01.jpg</t>
  </si>
  <si>
    <t>イントロ</t>
  </si>
  <si>
    <t>未</t>
  </si>
  <si>
    <t>1-02</t>
  </si>
  <si>
    <t>① LINE の画面：あさこ、ぱっぴーの旅立ちを知る → ショック</t>
  </si>
  <si>
    <t>1-03</t>
  </si>
  <si>
    <t>② ららに「送別会やろう」と LINE</t>
  </si>
  <si>
    <t>1-04</t>
  </si>
  <si>
    <t>③ 内容を考える → キャンバスを見つける</t>
  </si>
  <si>
    <t>歌詞「見つける」に合わせる</t>
  </si>
  <si>
    <t>1-05</t>
  </si>
  <si>
    <t>④ コメダで らら・ちゃちゃに相談</t>
  </si>
  <si>
    <t>1-06</t>
  </si>
  <si>
    <t>⑤ みんなに声をかける（LINE の画面か直接か）</t>
  </si>
  <si>
    <t>1-07</t>
  </si>
  <si>
    <t>⑥ 準備の様子。日にちが過ぎていく（カレンダーなど）</t>
  </si>
  <si>
    <t>曲調が変わる。時間が進む感覚</t>
  </si>
  <si>
    <t>1-08</t>
  </si>
  <si>
    <t>⑦ ぱっぴーとの思い出「動画あるといいねぇ〜」</t>
  </si>
  <si>
    <t>1-09</t>
  </si>
  <si>
    <t>⑨ 動画の進捗報告</t>
  </si>
  <si>
    <t>無音になる直前</t>
  </si>
  <si>
    <t>1-10</t>
  </si>
  <si>
    <t>⑩ ららから詰められる「動画がいいな〜」</t>
  </si>
  <si>
    <t>頭の 1:22〜1:25 が無音</t>
  </si>
  <si>
    <t>1-11</t>
  </si>
  <si>
    <t>⑪ 無言の間（あさこは表情だけ）</t>
  </si>
  <si>
    <t>無音 1:37〜1:44（雨が止んだ後）</t>
  </si>
  <si>
    <t>1-12</t>
  </si>
  <si>
    <t>⑪ ここから喋る：やりたいことをしっとり話す</t>
  </si>
  <si>
    <t>1-13</t>
  </si>
  <si>
    <t>⑫ 3人で「やるぞっ！」</t>
  </si>
  <si>
    <t>1-14</t>
  </si>
  <si>
    <t>⑬ 動画編集＋その他の準備</t>
  </si>
  <si>
    <t>1-15</t>
  </si>
  <si>
    <t>⑭ ちゃちゃのガチメッセージ。あさこ・ちゃちゃの思い出写真</t>
  </si>
  <si>
    <t>1-16</t>
  </si>
  <si>
    <t>（らら案ではほぼ黒画面）</t>
  </si>
  <si>
    <t>1-17</t>
  </si>
  <si>
    <t>⑮ あさこのガチメッセージ → ⑯「それでは、動画をご覧下さい！」</t>
  </si>
  <si>
    <t>無音 2:56〜3:06（BGM が終わる。声だけ）</t>
  </si>
  <si>
    <t>2本目：プレゼントが届くまで</t>
  </si>
  <si>
    <t>2-01</t>
  </si>
  <si>
    <t>音ありの思い出ムービー（たき火、ピアノなど）→ フェードアウトして曲へ</t>
  </si>
  <si>
    <t>例）2-01_思い出写真_01.jpg</t>
  </si>
  <si>
    <t>曲の入り</t>
  </si>
  <si>
    <t>2-02</t>
  </si>
  <si>
    <t>字幕「パッピーが長野から旅立つ」「共に過ごせた時間に感謝を込めて」「みんなからの贈り物」</t>
  </si>
  <si>
    <t>2-03</t>
  </si>
  <si>
    <t>開封シーン（「喜んでくれるかな」）</t>
  </si>
  <si>
    <t>2-04</t>
  </si>
  <si>
    <t>「じゃあこれをみんなで塗ってこう！」</t>
  </si>
  <si>
    <t>2-05</t>
  </si>
  <si>
    <t>1人目のところへ向かう</t>
  </si>
  <si>
    <t>2-06</t>
  </si>
  <si>
    <t>1人目：足元と声 → 色塗り → 「出来ました〜」。手書き「また会おう!!」</t>
  </si>
  <si>
    <t>2-07</t>
  </si>
  <si>
    <t>2人目：色塗り → 「出来ました〜」</t>
  </si>
  <si>
    <t>2-08</t>
  </si>
  <si>
    <t>3人目：色塗りシーン（塗った後の絵は見せない）</t>
  </si>
  <si>
    <t>3〜18人目で約1分42秒。1人約6秒</t>
  </si>
  <si>
    <t>2-09</t>
  </si>
  <si>
    <t>4人目：色塗りシーン（塗った後の絵は見せない）</t>
  </si>
  <si>
    <t>2-10</t>
  </si>
  <si>
    <t>5人目：色塗りシーン（塗った後の絵は見せない）</t>
  </si>
  <si>
    <t>2-11</t>
  </si>
  <si>
    <t>6人目：色塗りシーン（塗った後の絵は見せない）</t>
  </si>
  <si>
    <t>2-12</t>
  </si>
  <si>
    <t>7人目：色塗りシーン（塗った後の絵は見せない）</t>
  </si>
  <si>
    <t>2-13</t>
  </si>
  <si>
    <t>8人目：色塗りシーン（塗った後の絵は見せない）</t>
  </si>
  <si>
    <t>2-14</t>
  </si>
  <si>
    <t>9人目：色塗りシーン（塗った後の絵は見せない）</t>
  </si>
  <si>
    <t>2-15</t>
  </si>
  <si>
    <t>10人目：色塗りシーン（塗った後の絵は見せない）</t>
  </si>
  <si>
    <t>2-16</t>
  </si>
  <si>
    <t>11人目：色塗りシーン（塗った後の絵は見せない）</t>
  </si>
  <si>
    <t>2-17</t>
  </si>
  <si>
    <t>12人目：色塗りシーン（塗った後の絵は見せない）</t>
  </si>
  <si>
    <t>2-18</t>
  </si>
  <si>
    <t>13人目：色塗りシーン（塗った後の絵は見せない）</t>
  </si>
  <si>
    <t>2-19</t>
  </si>
  <si>
    <t>14人目：色塗りシーン（塗った後の絵は見せない）</t>
  </si>
  <si>
    <t>2-20</t>
  </si>
  <si>
    <t>15人目：色塗りシーン（塗った後の絵は見せない）</t>
  </si>
  <si>
    <t>2-21</t>
  </si>
  <si>
    <t>16人目：色塗りシーン（塗った後の絵は見せない）</t>
  </si>
  <si>
    <t>2-22</t>
  </si>
  <si>
    <t>17人目：色塗りシーン（塗った後の絵は見せない）</t>
  </si>
  <si>
    <t>2-23</t>
  </si>
  <si>
    <t>18人目：色塗りシーン（塗った後の絵は見せない）</t>
  </si>
  <si>
    <t>2-24</t>
  </si>
  <si>
    <t>18人目から〇〇へ託され、会場準備へ</t>
  </si>
  <si>
    <t>2-25</t>
  </si>
  <si>
    <t>会場準備後、ソワソワと待つ</t>
  </si>
  <si>
    <t>2-26</t>
  </si>
  <si>
    <t>「今はグッバイ」でカメラを手で隠す → 暗転</t>
  </si>
  <si>
    <t>無音 2:41〜2:43</t>
  </si>
  <si>
    <t>2-27</t>
  </si>
  <si>
    <t>「パッピー、後ろを見てください！」→ プレゼント贈呈</t>
  </si>
  <si>
    <t>無音からの盛り上がり</t>
  </si>
  <si>
    <t>2-28</t>
  </si>
  <si>
    <t>「パッピーへ」メッセージ表示（文言は仮）</t>
  </si>
  <si>
    <t>2-29</t>
  </si>
  <si>
    <t>アウトロ：みんなのサイン・メッセージ＋「パッピー」の声</t>
  </si>
  <si>
    <t>2-30</t>
  </si>
  <si>
    <t>あさこ・ちゃちゃ「パッピー」→「またね」</t>
  </si>
  <si>
    <t>無音 3:26〜3:29（BGM が終わる）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</si>
</sst>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&quot;秒&quot;"/>
    <numFmt numFmtId="165" formatCode="m:ss.0"/>
    <numFmt numFmtId="166" formatCode="0.0"/>
  </numFmts>
  <fonts count="7" x14ac:knownFonts="1">
    <font>
      <color theme="1"/>
      <family val="2"/>
      <scheme val="minor"/>
      <sz val="11"/>
      <name val="Calibri"/>
    </font>
    <font>
      <b/>
      <sz val="14"/>
      <name val="Meiryo UI"/>
    </font>
    <font>
      <sz val="10"/>
      <name val="Meiryo UI"/>
    </font>
    <font>
      <b/>
      <sz val="10"/>
      <name val="Meiryo UI"/>
    </font>
    <font>
      <color rgb="FF808080"/>
      <sz val="10"/>
      <name val="Meiryo UI"/>
    </font>
    <font>
      <b/>
      <color rgb="FFFFFFFF"/>
      <sz val="10"/>
      <name val="Meiryo UI"/>
    </font>
    <font>
      <i/>
      <color rgb="FF808080"/>
      <sz val="10"/>
      <name val="Meiryo UI"/>
    </font>
  </fonts>
  <fills count="4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166" fontId="2" fillId="3" borderId="1" xfId="0" applyNumberFormat="1" applyFont="1" applyFill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4">
    <dxf>
      <font>
        <b/>
        <color rgb="FFC00000"/>
      </font>
    </dxf>
    <dxf>
      <font>
        <b/>
        <color rgb="FF2E7D32"/>
      </font>
    </dxf>
    <dxf>
      <font>
        <b/>
        <color rgb="FFC00000"/>
      </font>
    </dxf>
    <dxf>
      <font>
        <b/>
        <color rgb="FF2E7D3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4"/>
  <sheetFormatPr defaultRowHeight="15" outlineLevelRow="0" outlineLevelCol="0" x14ac:dyDescent="55"/>
  <cols>
    <col min="1" max="1" width="4" customWidth="1"/>
    <col min="2" max="2" width="100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3" t="s">
        <v>2</v>
      </c>
    </row>
    <row r="4" spans="2:2" x14ac:dyDescent="0.25">
      <c r="B4" s="2" t="s">
        <v>3</v>
      </c>
    </row>
    <row r="5" spans="2:2" x14ac:dyDescent="0.25">
      <c r="B5" s="2" t="s">
        <v>4</v>
      </c>
    </row>
    <row r="6" spans="2:2" x14ac:dyDescent="0.25">
      <c r="B6" s="2" t="s">
        <v>5</v>
      </c>
    </row>
    <row r="7" spans="2:2" x14ac:dyDescent="0.25">
      <c r="B7" s="2" t="s">
        <v>1</v>
      </c>
    </row>
    <row r="8" spans="2:2" x14ac:dyDescent="0.25">
      <c r="B8" s="3" t="s">
        <v>6</v>
      </c>
    </row>
    <row r="9" spans="2:2" x14ac:dyDescent="0.25">
      <c r="B9" s="2" t="s">
        <v>7</v>
      </c>
    </row>
    <row r="10" spans="2:2" x14ac:dyDescent="0.25">
      <c r="B10" s="2" t="s">
        <v>8</v>
      </c>
    </row>
    <row r="11" spans="2:2" x14ac:dyDescent="0.25">
      <c r="B11" s="2" t="s">
        <v>1</v>
      </c>
    </row>
    <row r="12" spans="2:2" x14ac:dyDescent="0.25">
      <c r="B12" s="3" t="s">
        <v>9</v>
      </c>
    </row>
    <row r="13" spans="2:2" x14ac:dyDescent="0.25">
      <c r="B13" s="2" t="s">
        <v>10</v>
      </c>
    </row>
    <row r="14" spans="2:2" x14ac:dyDescent="0.25">
      <c r="B14" s="2" t="s">
        <v>11</v>
      </c>
    </row>
    <row r="15" spans="2:2" x14ac:dyDescent="0.25">
      <c r="B15" s="2" t="s">
        <v>1</v>
      </c>
    </row>
    <row r="16" spans="2:2" x14ac:dyDescent="0.25">
      <c r="B16" s="3" t="s">
        <v>12</v>
      </c>
    </row>
    <row r="17" spans="2:2" x14ac:dyDescent="0.25">
      <c r="B17" s="2" t="s">
        <v>13</v>
      </c>
    </row>
    <row r="18" spans="2:2" x14ac:dyDescent="0.25">
      <c r="B18" s="2" t="s">
        <v>14</v>
      </c>
    </row>
    <row r="19" spans="2:2" x14ac:dyDescent="0.25">
      <c r="B19" s="2" t="s">
        <v>1</v>
      </c>
    </row>
    <row r="20" spans="2:2" x14ac:dyDescent="0.25">
      <c r="B20" s="3" t="s">
        <v>15</v>
      </c>
    </row>
    <row r="21" spans="2:2" x14ac:dyDescent="0.25">
      <c r="B21" s="2" t="s">
        <v>16</v>
      </c>
    </row>
    <row r="22" spans="2:2" x14ac:dyDescent="0.25">
      <c r="B22" s="2" t="s">
        <v>17</v>
      </c>
    </row>
    <row r="23" spans="2:2" x14ac:dyDescent="0.25">
      <c r="B23" s="2" t="s">
        <v>18</v>
      </c>
    </row>
    <row r="24" spans="2:2" x14ac:dyDescent="0.25">
      <c r="B24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4" width="8" customWidth="1"/>
    <col min="5" max="5" width="46" customWidth="1"/>
    <col min="6" max="6" width="30" customWidth="1"/>
    <col min="7" max="8" width="28" customWidth="1"/>
    <col min="9" max="9" width="10" customWidth="1"/>
    <col min="10" max="10" width="24" customWidth="1"/>
  </cols>
  <sheetData>
    <row r="1" spans="1:1" x14ac:dyDescent="0.25">
      <c r="A1" s="1" t="s">
        <v>20</v>
      </c>
    </row>
    <row r="2" spans="1:5" x14ac:dyDescent="0.25">
      <c r="A2" s="3" t="s">
        <v>21</v>
      </c>
      <c r="C2" s="4">
        <v>186.2</v>
      </c>
      <c r="D2" s="5">
        <f>C2/86400</f>
      </c>
      <c r="E2" s="6" t="s">
        <v>22</v>
      </c>
    </row>
    <row r="3" spans="1:5" x14ac:dyDescent="0.25">
      <c r="A3" s="3" t="s">
        <v>23</v>
      </c>
      <c r="C3" s="4">
        <f>SUM(B6:B22)</f>
      </c>
      <c r="D3" s="5">
        <f>C3/86400</f>
      </c>
      <c r="E3" s="3">
        <f>IF(ABS(C3-C2)&lt;0.05,"OK：BGM とぴったり",IF(C3&gt;C2,"長い："&amp;TEXT(C3-C2,"0.0")&amp;"秒削る","短い："&amp;TEXT(C2-C3,"0.0")&amp;"秒足りない"))</f>
      </c>
    </row>
    <row r="5" ht="22" customHeight="1" spans="1:10" x14ac:dyDescent="0.25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7" t="s">
        <v>33</v>
      </c>
    </row>
    <row r="6" spans="1:10" x14ac:dyDescent="0.25">
      <c r="A6" s="8" t="s">
        <v>34</v>
      </c>
      <c r="B6" s="9">
        <v>15</v>
      </c>
      <c r="C6" s="10">
        <v>0</v>
      </c>
      <c r="D6" s="10">
        <f>C6+B6/86400</f>
      </c>
      <c r="E6" s="11" t="s">
        <v>35</v>
      </c>
      <c r="F6" s="12" t="s">
        <v>36</v>
      </c>
      <c r="G6" s="11" t="s">
        <v>37</v>
      </c>
      <c r="H6" s="13"/>
      <c r="I6" s="14" t="s">
        <v>38</v>
      </c>
      <c r="J6" s="13"/>
    </row>
    <row r="7" spans="1:10" x14ac:dyDescent="0.25">
      <c r="A7" s="8" t="s">
        <v>39</v>
      </c>
      <c r="B7" s="9">
        <v>9</v>
      </c>
      <c r="C7" s="10">
        <f>D6</f>
      </c>
      <c r="D7" s="10">
        <f>C7+B7/86400</f>
      </c>
      <c r="E7" s="11" t="s">
        <v>40</v>
      </c>
      <c r="F7" s="13"/>
      <c r="G7" s="11"/>
      <c r="H7" s="13"/>
      <c r="I7" s="14" t="s">
        <v>38</v>
      </c>
      <c r="J7" s="13"/>
    </row>
    <row r="8" spans="1:10" x14ac:dyDescent="0.25">
      <c r="A8" s="8" t="s">
        <v>41</v>
      </c>
      <c r="B8" s="9">
        <v>3</v>
      </c>
      <c r="C8" s="10">
        <f>D7</f>
      </c>
      <c r="D8" s="10">
        <f>C8+B8/86400</f>
      </c>
      <c r="E8" s="11" t="s">
        <v>42</v>
      </c>
      <c r="F8" s="13"/>
      <c r="G8" s="11"/>
      <c r="H8" s="13"/>
      <c r="I8" s="14" t="s">
        <v>38</v>
      </c>
      <c r="J8" s="13"/>
    </row>
    <row r="9" spans="1:10" x14ac:dyDescent="0.25">
      <c r="A9" s="8" t="s">
        <v>43</v>
      </c>
      <c r="B9" s="9">
        <v>12</v>
      </c>
      <c r="C9" s="10">
        <f>D8</f>
      </c>
      <c r="D9" s="10">
        <f>C9+B9/86400</f>
      </c>
      <c r="E9" s="11" t="s">
        <v>44</v>
      </c>
      <c r="F9" s="13"/>
      <c r="G9" s="11" t="s">
        <v>45</v>
      </c>
      <c r="H9" s="13"/>
      <c r="I9" s="14" t="s">
        <v>38</v>
      </c>
      <c r="J9" s="13"/>
    </row>
    <row r="10" spans="1:10" x14ac:dyDescent="0.25">
      <c r="A10" s="8" t="s">
        <v>46</v>
      </c>
      <c r="B10" s="9">
        <v>9</v>
      </c>
      <c r="C10" s="10">
        <f>D9</f>
      </c>
      <c r="D10" s="10">
        <f>C10+B10/86400</f>
      </c>
      <c r="E10" s="11" t="s">
        <v>47</v>
      </c>
      <c r="F10" s="13"/>
      <c r="G10" s="11"/>
      <c r="H10" s="13"/>
      <c r="I10" s="14" t="s">
        <v>38</v>
      </c>
      <c r="J10" s="13"/>
    </row>
    <row r="11" spans="1:10" x14ac:dyDescent="0.25">
      <c r="A11" s="8" t="s">
        <v>48</v>
      </c>
      <c r="B11" s="9">
        <v>9</v>
      </c>
      <c r="C11" s="10">
        <f>D10</f>
      </c>
      <c r="D11" s="10">
        <f>C11+B11/86400</f>
      </c>
      <c r="E11" s="11" t="s">
        <v>49</v>
      </c>
      <c r="F11" s="13"/>
      <c r="G11" s="11"/>
      <c r="H11" s="13"/>
      <c r="I11" s="14" t="s">
        <v>38</v>
      </c>
      <c r="J11" s="13"/>
    </row>
    <row r="12" spans="1:10" x14ac:dyDescent="0.25">
      <c r="A12" s="8" t="s">
        <v>50</v>
      </c>
      <c r="B12" s="9">
        <v>12</v>
      </c>
      <c r="C12" s="10">
        <f>D11</f>
      </c>
      <c r="D12" s="10">
        <f>C12+B12/86400</f>
      </c>
      <c r="E12" s="11" t="s">
        <v>51</v>
      </c>
      <c r="F12" s="13"/>
      <c r="G12" s="11" t="s">
        <v>52</v>
      </c>
      <c r="H12" s="13"/>
      <c r="I12" s="14" t="s">
        <v>38</v>
      </c>
      <c r="J12" s="13"/>
    </row>
    <row r="13" spans="1:10" x14ac:dyDescent="0.25">
      <c r="A13" s="8" t="s">
        <v>53</v>
      </c>
      <c r="B13" s="9">
        <v>9</v>
      </c>
      <c r="C13" s="10">
        <f>D12</f>
      </c>
      <c r="D13" s="10">
        <f>C13+B13/86400</f>
      </c>
      <c r="E13" s="11" t="s">
        <v>54</v>
      </c>
      <c r="F13" s="13"/>
      <c r="G13" s="11"/>
      <c r="H13" s="13"/>
      <c r="I13" s="14" t="s">
        <v>38</v>
      </c>
      <c r="J13" s="13"/>
    </row>
    <row r="14" spans="1:10" x14ac:dyDescent="0.25">
      <c r="A14" s="8" t="s">
        <v>55</v>
      </c>
      <c r="B14" s="9">
        <v>3</v>
      </c>
      <c r="C14" s="10">
        <f>D13</f>
      </c>
      <c r="D14" s="10">
        <f>C14+B14/86400</f>
      </c>
      <c r="E14" s="11" t="s">
        <v>56</v>
      </c>
      <c r="F14" s="13"/>
      <c r="G14" s="11" t="s">
        <v>57</v>
      </c>
      <c r="H14" s="13"/>
      <c r="I14" s="14" t="s">
        <v>38</v>
      </c>
      <c r="J14" s="13"/>
    </row>
    <row r="15" spans="1:10" x14ac:dyDescent="0.25">
      <c r="A15" s="8" t="s">
        <v>58</v>
      </c>
      <c r="B15" s="9">
        <v>18</v>
      </c>
      <c r="C15" s="10">
        <f>D14</f>
      </c>
      <c r="D15" s="10">
        <f>C15+B15/86400</f>
      </c>
      <c r="E15" s="11" t="s">
        <v>59</v>
      </c>
      <c r="F15" s="13"/>
      <c r="G15" s="11" t="s">
        <v>60</v>
      </c>
      <c r="H15" s="13"/>
      <c r="I15" s="14" t="s">
        <v>38</v>
      </c>
      <c r="J15" s="13"/>
    </row>
    <row r="16" spans="1:10" x14ac:dyDescent="0.25">
      <c r="A16" s="8" t="s">
        <v>61</v>
      </c>
      <c r="B16" s="9">
        <v>6</v>
      </c>
      <c r="C16" s="10">
        <f>D15</f>
      </c>
      <c r="D16" s="10">
        <f>C16+B16/86400</f>
      </c>
      <c r="E16" s="11" t="s">
        <v>62</v>
      </c>
      <c r="F16" s="13"/>
      <c r="G16" s="11" t="s">
        <v>63</v>
      </c>
      <c r="H16" s="13"/>
      <c r="I16" s="14" t="s">
        <v>38</v>
      </c>
      <c r="J16" s="13"/>
    </row>
    <row r="17" spans="1:10" x14ac:dyDescent="0.25">
      <c r="A17" s="8" t="s">
        <v>64</v>
      </c>
      <c r="B17" s="9">
        <v>12</v>
      </c>
      <c r="C17" s="10">
        <f>D16</f>
      </c>
      <c r="D17" s="10">
        <f>C17+B17/86400</f>
      </c>
      <c r="E17" s="11" t="s">
        <v>65</v>
      </c>
      <c r="F17" s="13"/>
      <c r="G17" s="11"/>
      <c r="H17" s="13"/>
      <c r="I17" s="14" t="s">
        <v>38</v>
      </c>
      <c r="J17" s="13"/>
    </row>
    <row r="18" spans="1:10" x14ac:dyDescent="0.25">
      <c r="A18" s="8" t="s">
        <v>66</v>
      </c>
      <c r="B18" s="9">
        <v>3</v>
      </c>
      <c r="C18" s="10">
        <f>D17</f>
      </c>
      <c r="D18" s="10">
        <f>C18+B18/86400</f>
      </c>
      <c r="E18" s="11" t="s">
        <v>67</v>
      </c>
      <c r="F18" s="13"/>
      <c r="G18" s="11"/>
      <c r="H18" s="13"/>
      <c r="I18" s="14" t="s">
        <v>38</v>
      </c>
      <c r="J18" s="13"/>
    </row>
    <row r="19" spans="1:10" x14ac:dyDescent="0.25">
      <c r="A19" s="8" t="s">
        <v>68</v>
      </c>
      <c r="B19" s="9">
        <v>18</v>
      </c>
      <c r="C19" s="10">
        <f>D18</f>
      </c>
      <c r="D19" s="10">
        <f>C19+B19/86400</f>
      </c>
      <c r="E19" s="11" t="s">
        <v>69</v>
      </c>
      <c r="F19" s="13"/>
      <c r="G19" s="11"/>
      <c r="H19" s="13"/>
      <c r="I19" s="14" t="s">
        <v>38</v>
      </c>
      <c r="J19" s="13"/>
    </row>
    <row r="20" spans="1:10" x14ac:dyDescent="0.25">
      <c r="A20" s="8" t="s">
        <v>70</v>
      </c>
      <c r="B20" s="9">
        <v>27</v>
      </c>
      <c r="C20" s="10">
        <f>D19</f>
      </c>
      <c r="D20" s="10">
        <f>C20+B20/86400</f>
      </c>
      <c r="E20" s="11" t="s">
        <v>71</v>
      </c>
      <c r="F20" s="13"/>
      <c r="G20" s="11"/>
      <c r="H20" s="13"/>
      <c r="I20" s="14" t="s">
        <v>38</v>
      </c>
      <c r="J20" s="13"/>
    </row>
    <row r="21" spans="1:10" x14ac:dyDescent="0.25">
      <c r="A21" s="8" t="s">
        <v>72</v>
      </c>
      <c r="B21" s="9">
        <v>15</v>
      </c>
      <c r="C21" s="10">
        <f>D20</f>
      </c>
      <c r="D21" s="10">
        <f>C21+B21/86400</f>
      </c>
      <c r="E21" s="11" t="s">
        <v>73</v>
      </c>
      <c r="F21" s="13"/>
      <c r="G21" s="11"/>
      <c r="H21" s="13"/>
      <c r="I21" s="14" t="s">
        <v>38</v>
      </c>
      <c r="J21" s="13"/>
    </row>
    <row r="22" spans="1:10" x14ac:dyDescent="0.25">
      <c r="A22" s="8" t="s">
        <v>74</v>
      </c>
      <c r="B22" s="9">
        <v>6.2</v>
      </c>
      <c r="C22" s="10">
        <f>D21</f>
      </c>
      <c r="D22" s="10">
        <f>C22+B22/86400</f>
      </c>
      <c r="E22" s="11" t="s">
        <v>75</v>
      </c>
      <c r="F22" s="13"/>
      <c r="G22" s="11" t="s">
        <v>76</v>
      </c>
      <c r="H22" s="13"/>
      <c r="I22" s="14" t="s">
        <v>38</v>
      </c>
      <c r="J22" s="13"/>
    </row>
  </sheetData>
  <conditionalFormatting sqref="E3">
    <cfRule type="expression" dxfId="0" priority="1">
      <formula>ABS($C$3-$C$2)&gt;=0.05</formula>
    </cfRule>
    <cfRule type="expression" dxfId="1" priority="2">
      <formula>ABS($C$3-$C$2)&lt;0.05</formula>
    </cfRule>
  </conditionalFormatting>
  <dataValidations count="2">
    <dataValidation type="list" allowBlank="1" sqref="I10:I22">
      <formula1>"未,撮影済,受領済,作成済"</formula1>
    </dataValidation>
    <dataValidation type="list" allowBlank="1" sqref="I6:I22">
      <formula1>"未,撮影済,受領済,作成済"</formula1>
    </dataValidation>
  </dataValidation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4" width="8" customWidth="1"/>
    <col min="5" max="5" width="46" customWidth="1"/>
    <col min="6" max="6" width="30" customWidth="1"/>
    <col min="7" max="8" width="28" customWidth="1"/>
    <col min="9" max="9" width="10" customWidth="1"/>
    <col min="10" max="10" width="24" customWidth="1"/>
  </cols>
  <sheetData>
    <row r="1" spans="1:1" x14ac:dyDescent="0.25">
      <c r="A1" s="1" t="s">
        <v>77</v>
      </c>
    </row>
    <row r="2" spans="1:5" x14ac:dyDescent="0.25">
      <c r="A2" s="3" t="s">
        <v>21</v>
      </c>
      <c r="C2" s="4">
        <v>209.2</v>
      </c>
      <c r="D2" s="5">
        <f>C2/86400</f>
      </c>
      <c r="E2" s="6" t="s">
        <v>22</v>
      </c>
    </row>
    <row r="3" spans="1:5" x14ac:dyDescent="0.25">
      <c r="A3" s="3" t="s">
        <v>23</v>
      </c>
      <c r="C3" s="4">
        <f>SUM(B6:B35)</f>
      </c>
      <c r="D3" s="5">
        <f>C3/86400</f>
      </c>
      <c r="E3" s="3">
        <f>IF(ABS(C3-C2)&lt;0.05,"OK：BGM とぴったり",IF(C3&gt;C2,"長い："&amp;TEXT(C3-C2,"0.0")&amp;"秒削る","短い："&amp;TEXT(C2-C3,"0.0")&amp;"秒足りない"))</f>
      </c>
    </row>
    <row r="5" ht="22" customHeight="1" spans="1:10" x14ac:dyDescent="0.25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7" t="s">
        <v>33</v>
      </c>
    </row>
    <row r="6" spans="1:10" x14ac:dyDescent="0.25">
      <c r="A6" s="8" t="s">
        <v>78</v>
      </c>
      <c r="B6" s="9">
        <v>9</v>
      </c>
      <c r="C6" s="10">
        <v>0</v>
      </c>
      <c r="D6" s="10">
        <f>C6+B6/86400</f>
      </c>
      <c r="E6" s="11" t="s">
        <v>79</v>
      </c>
      <c r="F6" s="12" t="s">
        <v>80</v>
      </c>
      <c r="G6" s="11" t="s">
        <v>81</v>
      </c>
      <c r="H6" s="13"/>
      <c r="I6" s="14" t="s">
        <v>38</v>
      </c>
      <c r="J6" s="13"/>
    </row>
    <row r="7" spans="1:10" x14ac:dyDescent="0.25">
      <c r="A7" s="8" t="s">
        <v>82</v>
      </c>
      <c r="B7" s="9">
        <v>12</v>
      </c>
      <c r="C7" s="10">
        <f>D6</f>
      </c>
      <c r="D7" s="10">
        <f>C7+B7/86400</f>
      </c>
      <c r="E7" s="11" t="s">
        <v>83</v>
      </c>
      <c r="F7" s="13"/>
      <c r="G7" s="11"/>
      <c r="H7" s="13"/>
      <c r="I7" s="14" t="s">
        <v>38</v>
      </c>
      <c r="J7" s="13"/>
    </row>
    <row r="8" spans="1:10" x14ac:dyDescent="0.25">
      <c r="A8" s="8" t="s">
        <v>84</v>
      </c>
      <c r="B8" s="9">
        <v>3</v>
      </c>
      <c r="C8" s="10">
        <f>D7</f>
      </c>
      <c r="D8" s="10">
        <f>C8+B8/86400</f>
      </c>
      <c r="E8" s="11" t="s">
        <v>85</v>
      </c>
      <c r="F8" s="13"/>
      <c r="G8" s="11"/>
      <c r="H8" s="13"/>
      <c r="I8" s="14" t="s">
        <v>38</v>
      </c>
      <c r="J8" s="13"/>
    </row>
    <row r="9" spans="1:10" x14ac:dyDescent="0.25">
      <c r="A9" s="8" t="s">
        <v>86</v>
      </c>
      <c r="B9" s="9">
        <v>3</v>
      </c>
      <c r="C9" s="10">
        <f>D8</f>
      </c>
      <c r="D9" s="10">
        <f>C9+B9/86400</f>
      </c>
      <c r="E9" s="11" t="s">
        <v>87</v>
      </c>
      <c r="F9" s="13"/>
      <c r="G9" s="11"/>
      <c r="H9" s="13"/>
      <c r="I9" s="14" t="s">
        <v>38</v>
      </c>
      <c r="J9" s="13"/>
    </row>
    <row r="10" spans="1:10" x14ac:dyDescent="0.25">
      <c r="A10" s="8" t="s">
        <v>88</v>
      </c>
      <c r="B10" s="9">
        <v>3</v>
      </c>
      <c r="C10" s="10">
        <f>D9</f>
      </c>
      <c r="D10" s="10">
        <f>C10+B10/86400</f>
      </c>
      <c r="E10" s="11" t="s">
        <v>89</v>
      </c>
      <c r="F10" s="13"/>
      <c r="G10" s="11"/>
      <c r="H10" s="13"/>
      <c r="I10" s="14" t="s">
        <v>38</v>
      </c>
      <c r="J10" s="13"/>
    </row>
    <row r="11" spans="1:10" x14ac:dyDescent="0.25">
      <c r="A11" s="8" t="s">
        <v>90</v>
      </c>
      <c r="B11" s="9">
        <v>9</v>
      </c>
      <c r="C11" s="10">
        <f>D10</f>
      </c>
      <c r="D11" s="10">
        <f>C11+B11/86400</f>
      </c>
      <c r="E11" s="11" t="s">
        <v>91</v>
      </c>
      <c r="F11" s="13"/>
      <c r="G11" s="11"/>
      <c r="H11" s="13"/>
      <c r="I11" s="14" t="s">
        <v>38</v>
      </c>
      <c r="J11" s="13"/>
    </row>
    <row r="12" spans="1:10" x14ac:dyDescent="0.25">
      <c r="A12" s="8" t="s">
        <v>92</v>
      </c>
      <c r="B12" s="9">
        <v>6</v>
      </c>
      <c r="C12" s="10">
        <f>D11</f>
      </c>
      <c r="D12" s="10">
        <f>C12+B12/86400</f>
      </c>
      <c r="E12" s="11" t="s">
        <v>93</v>
      </c>
      <c r="F12" s="13"/>
      <c r="G12" s="11"/>
      <c r="H12" s="13"/>
      <c r="I12" s="14" t="s">
        <v>38</v>
      </c>
      <c r="J12" s="13"/>
    </row>
    <row r="13" spans="1:10" x14ac:dyDescent="0.25">
      <c r="A13" s="8" t="s">
        <v>94</v>
      </c>
      <c r="B13" s="9">
        <v>6.4</v>
      </c>
      <c r="C13" s="10">
        <f>D12</f>
      </c>
      <c r="D13" s="10">
        <f>C13+B13/86400</f>
      </c>
      <c r="E13" s="11" t="s">
        <v>95</v>
      </c>
      <c r="F13" s="13"/>
      <c r="G13" s="11" t="s">
        <v>96</v>
      </c>
      <c r="H13" s="13"/>
      <c r="I13" s="14" t="s">
        <v>38</v>
      </c>
      <c r="J13" s="13"/>
    </row>
    <row r="14" spans="1:10" x14ac:dyDescent="0.25">
      <c r="A14" s="8" t="s">
        <v>97</v>
      </c>
      <c r="B14" s="9">
        <v>6.4</v>
      </c>
      <c r="C14" s="10">
        <f>D13</f>
      </c>
      <c r="D14" s="10">
        <f>C14+B14/86400</f>
      </c>
      <c r="E14" s="11" t="s">
        <v>98</v>
      </c>
      <c r="F14" s="13"/>
      <c r="G14" s="11"/>
      <c r="H14" s="13"/>
      <c r="I14" s="14" t="s">
        <v>38</v>
      </c>
      <c r="J14" s="13"/>
    </row>
    <row r="15" spans="1:10" x14ac:dyDescent="0.25">
      <c r="A15" s="8" t="s">
        <v>99</v>
      </c>
      <c r="B15" s="9">
        <v>6.4</v>
      </c>
      <c r="C15" s="10">
        <f>D14</f>
      </c>
      <c r="D15" s="10">
        <f>C15+B15/86400</f>
      </c>
      <c r="E15" s="11" t="s">
        <v>100</v>
      </c>
      <c r="F15" s="13"/>
      <c r="G15" s="11"/>
      <c r="H15" s="13"/>
      <c r="I15" s="14" t="s">
        <v>38</v>
      </c>
      <c r="J15" s="13"/>
    </row>
    <row r="16" spans="1:10" x14ac:dyDescent="0.25">
      <c r="A16" s="8" t="s">
        <v>101</v>
      </c>
      <c r="B16" s="9">
        <v>6.4</v>
      </c>
      <c r="C16" s="10">
        <f>D15</f>
      </c>
      <c r="D16" s="10">
        <f>C16+B16/86400</f>
      </c>
      <c r="E16" s="11" t="s">
        <v>102</v>
      </c>
      <c r="F16" s="13"/>
      <c r="G16" s="11"/>
      <c r="H16" s="13"/>
      <c r="I16" s="14" t="s">
        <v>38</v>
      </c>
      <c r="J16" s="13"/>
    </row>
    <row r="17" spans="1:10" x14ac:dyDescent="0.25">
      <c r="A17" s="8" t="s">
        <v>103</v>
      </c>
      <c r="B17" s="9">
        <v>6.4</v>
      </c>
      <c r="C17" s="10">
        <f>D16</f>
      </c>
      <c r="D17" s="10">
        <f>C17+B17/86400</f>
      </c>
      <c r="E17" s="11" t="s">
        <v>104</v>
      </c>
      <c r="F17" s="13"/>
      <c r="G17" s="11"/>
      <c r="H17" s="13"/>
      <c r="I17" s="14" t="s">
        <v>38</v>
      </c>
      <c r="J17" s="13"/>
    </row>
    <row r="18" spans="1:10" x14ac:dyDescent="0.25">
      <c r="A18" s="8" t="s">
        <v>105</v>
      </c>
      <c r="B18" s="9">
        <v>6.4</v>
      </c>
      <c r="C18" s="10">
        <f>D17</f>
      </c>
      <c r="D18" s="10">
        <f>C18+B18/86400</f>
      </c>
      <c r="E18" s="11" t="s">
        <v>106</v>
      </c>
      <c r="F18" s="13"/>
      <c r="G18" s="11"/>
      <c r="H18" s="13"/>
      <c r="I18" s="14" t="s">
        <v>38</v>
      </c>
      <c r="J18" s="13"/>
    </row>
    <row r="19" spans="1:10" x14ac:dyDescent="0.25">
      <c r="A19" s="8" t="s">
        <v>107</v>
      </c>
      <c r="B19" s="9">
        <v>6.4</v>
      </c>
      <c r="C19" s="10">
        <f>D18</f>
      </c>
      <c r="D19" s="10">
        <f>C19+B19/86400</f>
      </c>
      <c r="E19" s="11" t="s">
        <v>108</v>
      </c>
      <c r="F19" s="13"/>
      <c r="G19" s="11"/>
      <c r="H19" s="13"/>
      <c r="I19" s="14" t="s">
        <v>38</v>
      </c>
      <c r="J19" s="13"/>
    </row>
    <row r="20" spans="1:10" x14ac:dyDescent="0.25">
      <c r="A20" s="8" t="s">
        <v>109</v>
      </c>
      <c r="B20" s="9">
        <v>6.4</v>
      </c>
      <c r="C20" s="10">
        <f>D19</f>
      </c>
      <c r="D20" s="10">
        <f>C20+B20/86400</f>
      </c>
      <c r="E20" s="11" t="s">
        <v>110</v>
      </c>
      <c r="F20" s="13"/>
      <c r="G20" s="11"/>
      <c r="H20" s="13"/>
      <c r="I20" s="14" t="s">
        <v>38</v>
      </c>
      <c r="J20" s="13"/>
    </row>
    <row r="21" spans="1:10" x14ac:dyDescent="0.25">
      <c r="A21" s="8" t="s">
        <v>111</v>
      </c>
      <c r="B21" s="9">
        <v>6.4</v>
      </c>
      <c r="C21" s="10">
        <f>D20</f>
      </c>
      <c r="D21" s="10">
        <f>C21+B21/86400</f>
      </c>
      <c r="E21" s="11" t="s">
        <v>112</v>
      </c>
      <c r="F21" s="13"/>
      <c r="G21" s="11"/>
      <c r="H21" s="13"/>
      <c r="I21" s="14" t="s">
        <v>38</v>
      </c>
      <c r="J21" s="13"/>
    </row>
    <row r="22" spans="1:10" x14ac:dyDescent="0.25">
      <c r="A22" s="8" t="s">
        <v>113</v>
      </c>
      <c r="B22" s="9">
        <v>6.4</v>
      </c>
      <c r="C22" s="10">
        <f>D21</f>
      </c>
      <c r="D22" s="10">
        <f>C22+B22/86400</f>
      </c>
      <c r="E22" s="11" t="s">
        <v>114</v>
      </c>
      <c r="F22" s="13"/>
      <c r="G22" s="11"/>
      <c r="H22" s="13"/>
      <c r="I22" s="14" t="s">
        <v>38</v>
      </c>
      <c r="J22" s="13"/>
    </row>
    <row r="23" spans="1:10" x14ac:dyDescent="0.25">
      <c r="A23" s="8" t="s">
        <v>115</v>
      </c>
      <c r="B23" s="9">
        <v>6.4</v>
      </c>
      <c r="C23" s="10">
        <f>D22</f>
      </c>
      <c r="D23" s="10">
        <f>C23+B23/86400</f>
      </c>
      <c r="E23" s="11" t="s">
        <v>116</v>
      </c>
      <c r="F23" s="13"/>
      <c r="G23" s="11"/>
      <c r="H23" s="13"/>
      <c r="I23" s="14" t="s">
        <v>38</v>
      </c>
      <c r="J23" s="13"/>
    </row>
    <row r="24" spans="1:10" x14ac:dyDescent="0.25">
      <c r="A24" s="8" t="s">
        <v>117</v>
      </c>
      <c r="B24" s="9">
        <v>6.4</v>
      </c>
      <c r="C24" s="10">
        <f>D23</f>
      </c>
      <c r="D24" s="10">
        <f>C24+B24/86400</f>
      </c>
      <c r="E24" s="11" t="s">
        <v>118</v>
      </c>
      <c r="F24" s="13"/>
      <c r="G24" s="11"/>
      <c r="H24" s="13"/>
      <c r="I24" s="14" t="s">
        <v>38</v>
      </c>
      <c r="J24" s="13"/>
    </row>
    <row r="25" spans="1:10" x14ac:dyDescent="0.25">
      <c r="A25" s="8" t="s">
        <v>119</v>
      </c>
      <c r="B25" s="9">
        <v>6.4</v>
      </c>
      <c r="C25" s="10">
        <f>D24</f>
      </c>
      <c r="D25" s="10">
        <f>C25+B25/86400</f>
      </c>
      <c r="E25" s="11" t="s">
        <v>120</v>
      </c>
      <c r="F25" s="13"/>
      <c r="G25" s="11"/>
      <c r="H25" s="13"/>
      <c r="I25" s="14" t="s">
        <v>38</v>
      </c>
      <c r="J25" s="13"/>
    </row>
    <row r="26" spans="1:10" x14ac:dyDescent="0.25">
      <c r="A26" s="8" t="s">
        <v>121</v>
      </c>
      <c r="B26" s="9">
        <v>6.4</v>
      </c>
      <c r="C26" s="10">
        <f>D25</f>
      </c>
      <c r="D26" s="10">
        <f>C26+B26/86400</f>
      </c>
      <c r="E26" s="11" t="s">
        <v>122</v>
      </c>
      <c r="F26" s="13"/>
      <c r="G26" s="11"/>
      <c r="H26" s="13"/>
      <c r="I26" s="14" t="s">
        <v>38</v>
      </c>
      <c r="J26" s="13"/>
    </row>
    <row r="27" spans="1:10" x14ac:dyDescent="0.25">
      <c r="A27" s="8" t="s">
        <v>123</v>
      </c>
      <c r="B27" s="9">
        <v>6.4</v>
      </c>
      <c r="C27" s="10">
        <f>D26</f>
      </c>
      <c r="D27" s="10">
        <f>C27+B27/86400</f>
      </c>
      <c r="E27" s="11" t="s">
        <v>124</v>
      </c>
      <c r="F27" s="13"/>
      <c r="G27" s="11"/>
      <c r="H27" s="13"/>
      <c r="I27" s="14" t="s">
        <v>38</v>
      </c>
      <c r="J27" s="13"/>
    </row>
    <row r="28" spans="1:10" x14ac:dyDescent="0.25">
      <c r="A28" s="8" t="s">
        <v>125</v>
      </c>
      <c r="B28" s="9">
        <v>6</v>
      </c>
      <c r="C28" s="10">
        <f>D27</f>
      </c>
      <c r="D28" s="10">
        <f>C28+B28/86400</f>
      </c>
      <c r="E28" s="11" t="s">
        <v>126</v>
      </c>
      <c r="F28" s="13"/>
      <c r="G28" s="11"/>
      <c r="H28" s="13"/>
      <c r="I28" s="14" t="s">
        <v>38</v>
      </c>
      <c r="J28" s="13"/>
    </row>
    <row r="29" spans="1:10" x14ac:dyDescent="0.25">
      <c r="A29" s="8" t="s">
        <v>127</v>
      </c>
      <c r="B29" s="9">
        <v>6</v>
      </c>
      <c r="C29" s="10">
        <f>D28</f>
      </c>
      <c r="D29" s="10">
        <f>C29+B29/86400</f>
      </c>
      <c r="E29" s="11" t="s">
        <v>128</v>
      </c>
      <c r="F29" s="13"/>
      <c r="G29" s="11"/>
      <c r="H29" s="13"/>
      <c r="I29" s="14" t="s">
        <v>38</v>
      </c>
      <c r="J29" s="13"/>
    </row>
    <row r="30" spans="1:10" x14ac:dyDescent="0.25">
      <c r="A30" s="8" t="s">
        <v>129</v>
      </c>
      <c r="B30" s="9">
        <v>6</v>
      </c>
      <c r="C30" s="10">
        <f>D29</f>
      </c>
      <c r="D30" s="10">
        <f>C30+B30/86400</f>
      </c>
      <c r="E30" s="11" t="s">
        <v>130</v>
      </c>
      <c r="F30" s="13"/>
      <c r="G30" s="11"/>
      <c r="H30" s="13"/>
      <c r="I30" s="14" t="s">
        <v>38</v>
      </c>
      <c r="J30" s="13"/>
    </row>
    <row r="31" spans="1:10" x14ac:dyDescent="0.25">
      <c r="A31" s="8" t="s">
        <v>131</v>
      </c>
      <c r="B31" s="9">
        <v>3</v>
      </c>
      <c r="C31" s="10">
        <f>D30</f>
      </c>
      <c r="D31" s="10">
        <f>C31+B31/86400</f>
      </c>
      <c r="E31" s="11" t="s">
        <v>132</v>
      </c>
      <c r="F31" s="13"/>
      <c r="G31" s="11" t="s">
        <v>133</v>
      </c>
      <c r="H31" s="13"/>
      <c r="I31" s="14" t="s">
        <v>38</v>
      </c>
      <c r="J31" s="13"/>
    </row>
    <row r="32" spans="1:10" x14ac:dyDescent="0.25">
      <c r="A32" s="8" t="s">
        <v>134</v>
      </c>
      <c r="B32" s="9">
        <v>21</v>
      </c>
      <c r="C32" s="10">
        <f>D31</f>
      </c>
      <c r="D32" s="10">
        <f>C32+B32/86400</f>
      </c>
      <c r="E32" s="11" t="s">
        <v>135</v>
      </c>
      <c r="F32" s="13"/>
      <c r="G32" s="11" t="s">
        <v>136</v>
      </c>
      <c r="H32" s="13"/>
      <c r="I32" s="14" t="s">
        <v>38</v>
      </c>
      <c r="J32" s="13"/>
    </row>
    <row r="33" spans="1:10" x14ac:dyDescent="0.25">
      <c r="A33" s="8" t="s">
        <v>137</v>
      </c>
      <c r="B33" s="9">
        <v>12</v>
      </c>
      <c r="C33" s="10">
        <f>D32</f>
      </c>
      <c r="D33" s="10">
        <f>C33+B33/86400</f>
      </c>
      <c r="E33" s="11" t="s">
        <v>138</v>
      </c>
      <c r="F33" s="13"/>
      <c r="G33" s="11"/>
      <c r="H33" s="13"/>
      <c r="I33" s="14" t="s">
        <v>38</v>
      </c>
      <c r="J33" s="13"/>
    </row>
    <row r="34" spans="1:10" x14ac:dyDescent="0.25">
      <c r="A34" s="8" t="s">
        <v>139</v>
      </c>
      <c r="B34" s="9">
        <v>9</v>
      </c>
      <c r="C34" s="10">
        <f>D33</f>
      </c>
      <c r="D34" s="10">
        <f>C34+B34/86400</f>
      </c>
      <c r="E34" s="11" t="s">
        <v>140</v>
      </c>
      <c r="F34" s="13"/>
      <c r="G34" s="11"/>
      <c r="H34" s="13"/>
      <c r="I34" s="14" t="s">
        <v>38</v>
      </c>
      <c r="J34" s="13"/>
    </row>
    <row r="35" spans="1:10" x14ac:dyDescent="0.25">
      <c r="A35" s="8" t="s">
        <v>141</v>
      </c>
      <c r="B35" s="9">
        <v>5.2</v>
      </c>
      <c r="C35" s="10">
        <f>D34</f>
      </c>
      <c r="D35" s="10">
        <f>C35+B35/86400</f>
      </c>
      <c r="E35" s="11" t="s">
        <v>142</v>
      </c>
      <c r="F35" s="13"/>
      <c r="G35" s="11" t="s">
        <v>143</v>
      </c>
      <c r="H35" s="13"/>
      <c r="I35" s="14" t="s">
        <v>38</v>
      </c>
      <c r="J35" s="13"/>
    </row>
  </sheetData>
  <conditionalFormatting sqref="E3">
    <cfRule type="expression" dxfId="2" priority="1">
      <formula>ABS($C$3-$C$2)&gt;=0.05</formula>
    </cfRule>
    <cfRule type="expression" dxfId="3" priority="2">
      <formula>ABS($C$3-$C$2)&lt;0.05</formula>
    </cfRule>
  </conditionalFormatting>
  <dataValidations count="2">
    <dataValidation type="list" allowBlank="1" sqref="I10:I35">
      <formula1>"未,撮影済,受領済,作成済"</formula1>
    </dataValidation>
    <dataValidation type="list" allowBlank="1" sqref="I6:I35">
      <formula1>"未,撮影済,受領済,作成済"</formula1>
    </dataValidation>
  </dataValidation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使い方</vt:lpstr>
      <vt:lpstr>1本目</vt:lpstr>
      <vt:lpstr>2本目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2026-10-24T08:11:00Z</dcterms:created>
  <dcterms:modified xsi:type="dcterms:W3CDTF">2026-10-24T08:11:00Z</dcterms:modified>
</cp:coreProperties>
</file>